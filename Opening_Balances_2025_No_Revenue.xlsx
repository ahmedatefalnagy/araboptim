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imple-accounting\"/>
    </mc:Choice>
  </mc:AlternateContent>
  <xr:revisionPtr revIDLastSave="0" documentId="13_ncr:1_{82B69B9B-AE40-4427-A2A6-649DF7C52CE7}" xr6:coauthVersionLast="47" xr6:coauthVersionMax="47" xr10:uidLastSave="{00000000-0000-0000-0000-000000000000}"/>
  <bookViews>
    <workbookView xWindow="46065" yWindow="-255" windowWidth="6000" windowHeight="4455" xr2:uid="{00000000-000D-0000-FFFF-FFFF00000000}"/>
  </bookViews>
  <sheets>
    <sheet name="Opening Balances 2025 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C34" i="1"/>
  <c r="D34" i="1"/>
</calcChain>
</file>

<file path=xl/sharedStrings.xml><?xml version="1.0" encoding="utf-8"?>
<sst xmlns="http://schemas.openxmlformats.org/spreadsheetml/2006/main" count="37" uniqueCount="31">
  <si>
    <t>كود الحساب</t>
  </si>
  <si>
    <t>اسم الحساب</t>
  </si>
  <si>
    <t>مدين (Debit)</t>
  </si>
  <si>
    <t>دائن (Credit)</t>
  </si>
  <si>
    <t>البنوك</t>
  </si>
  <si>
    <t>البنك العربي 016</t>
  </si>
  <si>
    <t>بنك الرياض 940</t>
  </si>
  <si>
    <t>بنك ساب 7001</t>
  </si>
  <si>
    <t>بنك الانماء 2000</t>
  </si>
  <si>
    <t>بنك الراجحي 907</t>
  </si>
  <si>
    <t>بنك الراجحي 237</t>
  </si>
  <si>
    <t>بنك الراجحي 790</t>
  </si>
  <si>
    <t>الصندوق</t>
  </si>
  <si>
    <t>الاصول الثابتة</t>
  </si>
  <si>
    <t>آلات ومعدات</t>
  </si>
  <si>
    <t>سيارات</t>
  </si>
  <si>
    <t>اثاث ومفروشات</t>
  </si>
  <si>
    <t>أجهزة كهربائية وحاسب الي وبرامج</t>
  </si>
  <si>
    <t>مصاريف مستحقة</t>
  </si>
  <si>
    <t>مصروفات مستحقة</t>
  </si>
  <si>
    <t>ضريبة القيمة المضافة</t>
  </si>
  <si>
    <t>رأس المال</t>
  </si>
  <si>
    <t>جاري صاحب المؤسسة</t>
  </si>
  <si>
    <t>الارباح المرحلة</t>
  </si>
  <si>
    <t>مجمع إهلاك الموجودات الثابتة</t>
  </si>
  <si>
    <t>مجمع إهلاك آلات ومعدات</t>
  </si>
  <si>
    <t>مجمع إهلاك سيارات</t>
  </si>
  <si>
    <t>مجمع إهلاك اثاث ومفروشات</t>
  </si>
  <si>
    <t>مجمع إهلاك أجهزة كهربائية وحاسب الي وبرامج</t>
  </si>
  <si>
    <t>مخصص مكافأة نهاية الخدمة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</si>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</sst>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4" workbookViewId="0">
      <selection activeCell="A17" sqref="A17"/>
    </sheetView>
  </sheetViews>
  <sheetFormatPr defaultRowHeight="14.5" x14ac:dyDescent="0.35"/>
  <cols>
    <col min="2" max="2" width="27.08984375" customWidth="1"/>
    <col min="3" max="3" width="17.453125" customWidth="1"/>
    <col min="4" max="4" width="25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1101</v>
      </c>
      <c r="B2" t="s">
        <v>4</v>
      </c>
      <c r="D2">
        <v>0</v>
      </c>
    </row>
    <row r="3" spans="1:4" x14ac:dyDescent="0.35">
      <c r="A3">
        <v>1101003</v>
      </c>
      <c r="B3" t="s">
        <v>5</v>
      </c>
      <c r="C3">
        <v>7.33</v>
      </c>
      <c r="D3">
        <v>0</v>
      </c>
    </row>
    <row r="4" spans="1:4" x14ac:dyDescent="0.35">
      <c r="A4">
        <v>1101004</v>
      </c>
      <c r="B4" t="s">
        <v>6</v>
      </c>
      <c r="C4">
        <v>2.4500000000000002</v>
      </c>
      <c r="D4">
        <v>0</v>
      </c>
    </row>
    <row r="5" spans="1:4" x14ac:dyDescent="0.35">
      <c r="A5">
        <v>1101005</v>
      </c>
      <c r="B5" t="s">
        <v>7</v>
      </c>
      <c r="C5">
        <v>12.46</v>
      </c>
      <c r="D5">
        <v>0</v>
      </c>
    </row>
    <row r="6" spans="1:4" x14ac:dyDescent="0.35">
      <c r="A6">
        <v>1101006</v>
      </c>
      <c r="B6" t="s">
        <v>8</v>
      </c>
      <c r="C6">
        <v>28.78</v>
      </c>
      <c r="D6">
        <v>0</v>
      </c>
    </row>
    <row r="7" spans="1:4" x14ac:dyDescent="0.35">
      <c r="A7">
        <v>1101007</v>
      </c>
      <c r="B7" t="s">
        <v>9</v>
      </c>
      <c r="C7">
        <v>20</v>
      </c>
      <c r="D7">
        <v>0</v>
      </c>
    </row>
    <row r="8" spans="1:4" x14ac:dyDescent="0.35">
      <c r="A8">
        <v>1101008</v>
      </c>
      <c r="B8" t="s">
        <v>10</v>
      </c>
      <c r="C8">
        <v>208799.34</v>
      </c>
      <c r="D8">
        <v>0</v>
      </c>
    </row>
    <row r="9" spans="1:4" x14ac:dyDescent="0.35">
      <c r="A9">
        <v>1101009</v>
      </c>
      <c r="B9" t="s">
        <v>11</v>
      </c>
      <c r="C9">
        <v>55.97</v>
      </c>
      <c r="D9">
        <v>0</v>
      </c>
    </row>
    <row r="10" spans="1:4" x14ac:dyDescent="0.35">
      <c r="A10">
        <v>1102</v>
      </c>
      <c r="B10" t="s">
        <v>12</v>
      </c>
      <c r="D10">
        <v>0</v>
      </c>
    </row>
    <row r="11" spans="1:4" x14ac:dyDescent="0.35">
      <c r="A11">
        <v>1102001</v>
      </c>
      <c r="B11" t="s">
        <v>12</v>
      </c>
      <c r="C11">
        <v>2831</v>
      </c>
      <c r="D11">
        <v>0</v>
      </c>
    </row>
    <row r="12" spans="1:4" x14ac:dyDescent="0.35">
      <c r="A12">
        <v>1201</v>
      </c>
      <c r="B12" t="s">
        <v>13</v>
      </c>
      <c r="D12">
        <v>0</v>
      </c>
    </row>
    <row r="13" spans="1:4" x14ac:dyDescent="0.35">
      <c r="A13">
        <v>1201001</v>
      </c>
      <c r="B13" t="s">
        <v>14</v>
      </c>
      <c r="C13">
        <v>236525</v>
      </c>
      <c r="D13">
        <v>0</v>
      </c>
    </row>
    <row r="14" spans="1:4" x14ac:dyDescent="0.35">
      <c r="A14">
        <v>1201002</v>
      </c>
      <c r="B14" t="s">
        <v>15</v>
      </c>
      <c r="C14">
        <v>301570</v>
      </c>
      <c r="D14">
        <v>0</v>
      </c>
    </row>
    <row r="15" spans="1:4" x14ac:dyDescent="0.35">
      <c r="A15">
        <v>1201003</v>
      </c>
      <c r="B15" t="s">
        <v>16</v>
      </c>
      <c r="C15">
        <v>40850</v>
      </c>
      <c r="D15">
        <v>0</v>
      </c>
    </row>
    <row r="16" spans="1:4" x14ac:dyDescent="0.35">
      <c r="A16">
        <v>1201004</v>
      </c>
      <c r="B16" t="s">
        <v>17</v>
      </c>
      <c r="C16">
        <v>103250</v>
      </c>
      <c r="D16">
        <v>0</v>
      </c>
    </row>
    <row r="17" spans="1:4" x14ac:dyDescent="0.35">
      <c r="A17">
        <v>2101</v>
      </c>
      <c r="B17" t="s">
        <v>18</v>
      </c>
      <c r="C17">
        <v>0</v>
      </c>
    </row>
    <row r="18" spans="1:4" x14ac:dyDescent="0.35">
      <c r="A18">
        <v>2101002</v>
      </c>
      <c r="B18" t="s">
        <v>19</v>
      </c>
      <c r="C18">
        <v>0</v>
      </c>
      <c r="D18">
        <v>1304</v>
      </c>
    </row>
    <row r="19" spans="1:4" x14ac:dyDescent="0.35">
      <c r="A19">
        <v>2102</v>
      </c>
      <c r="B19" t="s">
        <v>20</v>
      </c>
      <c r="C19">
        <v>0</v>
      </c>
    </row>
    <row r="20" spans="1:4" x14ac:dyDescent="0.35">
      <c r="A20">
        <v>2102001</v>
      </c>
      <c r="B20" t="s">
        <v>20</v>
      </c>
      <c r="C20">
        <v>0</v>
      </c>
      <c r="D20">
        <v>42937</v>
      </c>
    </row>
    <row r="21" spans="1:4" x14ac:dyDescent="0.35">
      <c r="A21">
        <v>2201</v>
      </c>
      <c r="B21" t="s">
        <v>21</v>
      </c>
      <c r="C21">
        <v>0</v>
      </c>
    </row>
    <row r="22" spans="1:4" x14ac:dyDescent="0.35">
      <c r="A22">
        <v>2201001</v>
      </c>
      <c r="B22" t="s">
        <v>21</v>
      </c>
      <c r="C22">
        <v>0</v>
      </c>
      <c r="D22">
        <v>10000</v>
      </c>
    </row>
    <row r="23" spans="1:4" x14ac:dyDescent="0.35">
      <c r="A23">
        <v>2202</v>
      </c>
      <c r="B23" t="s">
        <v>22</v>
      </c>
      <c r="C23">
        <v>0</v>
      </c>
    </row>
    <row r="24" spans="1:4" x14ac:dyDescent="0.35">
      <c r="A24">
        <v>2202001</v>
      </c>
      <c r="B24" t="s">
        <v>22</v>
      </c>
      <c r="C24">
        <v>0</v>
      </c>
      <c r="D24">
        <v>119850.97</v>
      </c>
    </row>
    <row r="25" spans="1:4" x14ac:dyDescent="0.35">
      <c r="A25">
        <v>2203</v>
      </c>
      <c r="B25" t="s">
        <v>23</v>
      </c>
      <c r="C25">
        <v>0</v>
      </c>
      <c r="D25" s="1"/>
    </row>
    <row r="26" spans="1:4" x14ac:dyDescent="0.35">
      <c r="A26">
        <v>2203001</v>
      </c>
      <c r="B26" t="s">
        <v>23</v>
      </c>
      <c r="C26">
        <v>0</v>
      </c>
      <c r="D26" s="1">
        <v>572381.37</v>
      </c>
    </row>
    <row r="27" spans="1:4" x14ac:dyDescent="0.35">
      <c r="A27">
        <v>2301</v>
      </c>
      <c r="B27" t="s">
        <v>24</v>
      </c>
      <c r="C27">
        <v>0</v>
      </c>
    </row>
    <row r="28" spans="1:4" x14ac:dyDescent="0.35">
      <c r="A28">
        <v>2301001</v>
      </c>
      <c r="B28" t="s">
        <v>25</v>
      </c>
      <c r="C28">
        <v>0</v>
      </c>
      <c r="D28">
        <v>70956</v>
      </c>
    </row>
    <row r="29" spans="1:4" x14ac:dyDescent="0.35">
      <c r="A29">
        <v>2301002</v>
      </c>
      <c r="B29" t="s">
        <v>26</v>
      </c>
      <c r="C29">
        <v>0</v>
      </c>
      <c r="D29">
        <v>40709</v>
      </c>
    </row>
    <row r="30" spans="1:4" x14ac:dyDescent="0.35">
      <c r="A30">
        <v>2301003</v>
      </c>
      <c r="B30" t="s">
        <v>27</v>
      </c>
      <c r="C30">
        <v>0</v>
      </c>
      <c r="D30">
        <v>6417</v>
      </c>
    </row>
    <row r="31" spans="1:4" x14ac:dyDescent="0.35">
      <c r="A31">
        <v>2301004</v>
      </c>
      <c r="B31" t="s">
        <v>28</v>
      </c>
      <c r="C31">
        <v>0</v>
      </c>
      <c r="D31">
        <v>20650</v>
      </c>
    </row>
    <row r="32" spans="1:4" x14ac:dyDescent="0.35">
      <c r="A32">
        <v>2302</v>
      </c>
      <c r="B32" t="s">
        <v>29</v>
      </c>
      <c r="C32">
        <v>0</v>
      </c>
    </row>
    <row r="33" spans="1:4" x14ac:dyDescent="0.35">
      <c r="A33">
        <v>2302001</v>
      </c>
      <c r="B33" t="s">
        <v>29</v>
      </c>
      <c r="C33">
        <v>0</v>
      </c>
      <c r="D33">
        <v>8747</v>
      </c>
    </row>
    <row r="34" spans="1:4" x14ac:dyDescent="0.35">
      <c r="B34" t="s">
        <v>30</v>
      </c>
      <c r="C34" s="2">
        <f>SUM(C2:C33)</f>
        <v>893952.33</v>
      </c>
      <c r="D34" s="2">
        <f>SUM(D2:D33)</f>
        <v>893952.34</v>
      </c>
    </row>
    <row r="36" spans="1:4" x14ac:dyDescent="0.35">
      <c r="D36" s="2">
        <f>C34-D34</f>
        <v>-1.0000000009313226E-2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Balances 2025 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2026-05-14T14:18:50Z</dcterms:created>
  <dcterms:modified xsi:type="dcterms:W3CDTF">2026-05-14T15:01:59Z</dcterms:modified>
  <cp:category/>
</cp:coreProperties>
</file>